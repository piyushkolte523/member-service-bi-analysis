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KPI_Trend" sheetId="2" r:id="rId2"/>
    <sheet name="Vs_Target" sheetId="3" r:id="rId3"/>
    <sheet name="Alerts" sheetId="4" r:id="rId4"/>
    <sheet name="Controls" sheetId="5" r:id="rId5"/>
    <sheet name="Thresholds" sheetId="6" r:id="rId6"/>
  </sheets>
  <calcPr calcId="124519" fullCalcOnLoad="1"/>
</workbook>
</file>

<file path=xl/sharedStrings.xml><?xml version="1.0" encoding="utf-8"?>
<sst xmlns="http://schemas.openxmlformats.org/spreadsheetml/2006/main" count="191" uniqueCount="107">
  <si>
    <t>KPI</t>
  </si>
  <si>
    <t>2026-06</t>
  </si>
  <si>
    <t>Prior month</t>
  </si>
  <si>
    <t>Trailing 3-mo avg</t>
  </si>
  <si>
    <t>Change vs trailing</t>
  </si>
  <si>
    <t>Interactions</t>
  </si>
  <si>
    <t>Avg wait (s)</t>
  </si>
  <si>
    <t>P90 wait (s)</t>
  </si>
  <si>
    <t>% waits &gt; 2 min</t>
  </si>
  <si>
    <t>Resolution rate</t>
  </si>
  <si>
    <t>Transfer rate</t>
  </si>
  <si>
    <t>Abandonment rate</t>
  </si>
  <si>
    <t>Same-reason 7-day repeat</t>
  </si>
  <si>
    <t>Avg satisfaction</t>
  </si>
  <si>
    <t>Survey responses (n)</t>
  </si>
  <si>
    <t>Cost per resolved ($)</t>
  </si>
  <si>
    <t>Member Service KPI Pack - 2026-06</t>
  </si>
  <si>
    <t>month</t>
  </si>
  <si>
    <t>interactions</t>
  </si>
  <si>
    <t>unique_members</t>
  </si>
  <si>
    <t>contacts_per_member</t>
  </si>
  <si>
    <t>avg_wait_s</t>
  </si>
  <si>
    <t>p90_wait_s</t>
  </si>
  <si>
    <t>pct_wait_over_120s</t>
  </si>
  <si>
    <t>aht_s</t>
  </si>
  <si>
    <t>resolution_rate</t>
  </si>
  <si>
    <t>transfer_rate</t>
  </si>
  <si>
    <t>escalation_rate</t>
  </si>
  <si>
    <t>abandonment_rate</t>
  </si>
  <si>
    <t>survey_responses</t>
  </si>
  <si>
    <t>survey_response_rate</t>
  </si>
  <si>
    <t>avg_satisfaction</t>
  </si>
  <si>
    <t>repeat_7d_rate</t>
  </si>
  <si>
    <t>same_reason_repeat_7d_rate</t>
  </si>
  <si>
    <t>cost_per_resolved</t>
  </si>
  <si>
    <t>2026-01</t>
  </si>
  <si>
    <t>2026-02</t>
  </si>
  <si>
    <t>2026-03</t>
  </si>
  <si>
    <t>2026-04</t>
  </si>
  <si>
    <t>2026-05</t>
  </si>
  <si>
    <t>kpi</t>
  </si>
  <si>
    <t>actual</t>
  </si>
  <si>
    <t>target</t>
  </si>
  <si>
    <t>variance</t>
  </si>
  <si>
    <t>on_target</t>
  </si>
  <si>
    <t>Resolution_Rate</t>
  </si>
  <si>
    <t>Satisfaction</t>
  </si>
  <si>
    <t>Average_Wait_Seconds</t>
  </si>
  <si>
    <t>Transfer_Rate</t>
  </si>
  <si>
    <t>severity</t>
  </si>
  <si>
    <t>type</t>
  </si>
  <si>
    <t>where</t>
  </si>
  <si>
    <t>metric</t>
  </si>
  <si>
    <t>value</t>
  </si>
  <si>
    <t>reference</t>
  </si>
  <si>
    <t>note</t>
  </si>
  <si>
    <t>High</t>
  </si>
  <si>
    <t>Missed target</t>
  </si>
  <si>
    <t>Threshold breached (no formal target)</t>
  </si>
  <si>
    <t>Hot spot: wait jump vs trailing 3 months</t>
  </si>
  <si>
    <t>All contacts</t>
  </si>
  <si>
    <t>Phone | Credit Card</t>
  </si>
  <si>
    <t>Phone | Payment</t>
  </si>
  <si>
    <t>variance -0.047</t>
  </si>
  <si>
    <t>variance -1.499</t>
  </si>
  <si>
    <t>variance +0.022</t>
  </si>
  <si>
    <t>recommend adding a formal target</t>
  </si>
  <si>
    <t>92 contacts; abandonment 20%</t>
  </si>
  <si>
    <t>58 contacts; abandonment 26%</t>
  </si>
  <si>
    <t>control</t>
  </si>
  <si>
    <t>status</t>
  </si>
  <si>
    <t>detail</t>
  </si>
  <si>
    <t>Schema: required columns present</t>
  </si>
  <si>
    <t>Duplicates: no conflicting records per Interaction_ID</t>
  </si>
  <si>
    <t>Duplicates: exact copies removed</t>
  </si>
  <si>
    <t>Reconciliation: analysis rows = raw rows - duplicates</t>
  </si>
  <si>
    <t>Categories: all channels mapped</t>
  </si>
  <si>
    <t>Referential integrity: every interaction has a member</t>
  </si>
  <si>
    <t>Completeness: wait recorded</t>
  </si>
  <si>
    <t>Coverage: survey response rate</t>
  </si>
  <si>
    <t>Completeness: every calendar day present</t>
  </si>
  <si>
    <t>Volume vs trailing 3-month average</t>
  </si>
  <si>
    <t>Targets available for report month</t>
  </si>
  <si>
    <t>Repeat-contact window complete</t>
  </si>
  <si>
    <t>PASS</t>
  </si>
  <si>
    <t>WARN</t>
  </si>
  <si>
    <t>all present</t>
  </si>
  <si>
    <t>0 conflicting IDs</t>
  </si>
  <si>
    <t>12 exact duplicate rows removed</t>
  </si>
  <si>
    <t>4004 - 12 = 3992</t>
  </si>
  <si>
    <t>0 unmapped; 8 recoded for casing</t>
  </si>
  <si>
    <t>0 unmatched</t>
  </si>
  <si>
    <t>0.3% missing in 2026-06</t>
  </si>
  <si>
    <t>29.3% responded in 2026-06 (satisfaction shown with n)</t>
  </si>
  <si>
    <t>30 of 30 days</t>
  </si>
  <si>
    <t>765 vs 677 (+13%)</t>
  </si>
  <si>
    <t>found</t>
  </si>
  <si>
    <t>24% of 2026-06 contacts lack 7 days of follow-up; repeat rate uses complete-window contacts only (provisional)</t>
  </si>
  <si>
    <t>setting</t>
  </si>
  <si>
    <t>max_wait_missing_pct</t>
  </si>
  <si>
    <t>min_survey_response_rate</t>
  </si>
  <si>
    <t>volume_change_warn_pct</t>
  </si>
  <si>
    <t>alert_p90_wait_s</t>
  </si>
  <si>
    <t>alert_abandonment</t>
  </si>
  <si>
    <t>alert_same_reason_repeat</t>
  </si>
  <si>
    <t>hotspot_min_contacts</t>
  </si>
  <si>
    <t>hotspot_wait_ratio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</si>
</sst>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F9D6D5"/>
        </patternFill>
      </fill>
    </dxf>
    <dxf>
      <fill>
        <patternFill>
          <bgColor rgb="FFD8EFD8"/>
        </patternFill>
      </fill>
    </dxf>
    <dxf>
      <fill>
        <patternFill>
          <bgColor rgb="FFFDE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5</xdr:col>
      <xdr:colOff>597180</xdr:colOff>
      <xdr:row>24</xdr:row>
      <xdr:rowOff>63267</xdr:rowOff>
    </xdr:to>
    <xdr:pic>
      <xdr:nvPicPr>
        <xdr:cNvPr id="2" name="Picture 1" descr="kpi_trend_2026-0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0"/>
          <a:ext cx="7369455" cy="1587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4.7109375" customWidth="1"/>
    <col min="2" max="5" width="16.7109375" customWidth="1"/>
  </cols>
  <sheetData>
    <row r="1" spans="1:5">
      <c r="A1" s="1" t="s">
        <v>16</v>
      </c>
    </row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>
        <v>765</v>
      </c>
      <c r="C4">
        <v>790</v>
      </c>
      <c r="D4">
        <v>677.333</v>
      </c>
      <c r="E4">
        <v>87.667</v>
      </c>
    </row>
    <row r="5" spans="1:5">
      <c r="A5" t="s">
        <v>6</v>
      </c>
      <c r="B5">
        <v>53.055</v>
      </c>
      <c r="C5">
        <v>54.111</v>
      </c>
      <c r="D5">
        <v>43.417</v>
      </c>
      <c r="E5">
        <v>9.638</v>
      </c>
    </row>
    <row r="6" spans="1:5">
      <c r="A6" t="s">
        <v>7</v>
      </c>
      <c r="B6">
        <v>130</v>
      </c>
      <c r="C6">
        <v>140.8</v>
      </c>
      <c r="D6">
        <v>96.733</v>
      </c>
      <c r="E6">
        <v>33.267</v>
      </c>
    </row>
    <row r="7" spans="1:5">
      <c r="A7" t="s">
        <v>8</v>
      </c>
      <c r="B7">
        <v>0.115</v>
      </c>
      <c r="C7">
        <v>0.142</v>
      </c>
      <c r="D7">
        <v>0.047</v>
      </c>
      <c r="E7">
        <v>0.068</v>
      </c>
    </row>
    <row r="8" spans="1:5">
      <c r="A8" t="s">
        <v>9</v>
      </c>
      <c r="B8">
        <v>0.773</v>
      </c>
      <c r="C8">
        <v>0.782</v>
      </c>
      <c r="D8">
        <v>0.801</v>
      </c>
      <c r="E8">
        <v>-0.028</v>
      </c>
    </row>
    <row r="9" spans="1:5">
      <c r="A9" t="s">
        <v>10</v>
      </c>
      <c r="B9">
        <v>0.102</v>
      </c>
      <c r="C9">
        <v>0.08599999999999999</v>
      </c>
      <c r="D9">
        <v>0.092</v>
      </c>
      <c r="E9">
        <v>0.01</v>
      </c>
    </row>
    <row r="10" spans="1:5">
      <c r="A10" t="s">
        <v>11</v>
      </c>
      <c r="B10">
        <v>0.061</v>
      </c>
      <c r="C10">
        <v>0.076</v>
      </c>
      <c r="D10">
        <v>0.047</v>
      </c>
      <c r="E10">
        <v>0.014</v>
      </c>
    </row>
    <row r="11" spans="1:5">
      <c r="A11" t="s">
        <v>12</v>
      </c>
      <c r="B11">
        <v>0.08400000000000001</v>
      </c>
      <c r="C11">
        <v>0.08500000000000001</v>
      </c>
      <c r="D11">
        <v>0.068</v>
      </c>
      <c r="E11">
        <v>0.016</v>
      </c>
    </row>
    <row r="12" spans="1:5">
      <c r="A12" t="s">
        <v>13</v>
      </c>
      <c r="B12">
        <v>2.701</v>
      </c>
      <c r="C12">
        <v>2.616</v>
      </c>
      <c r="D12">
        <v>2.729</v>
      </c>
      <c r="E12">
        <v>-0.028</v>
      </c>
    </row>
    <row r="13" spans="1:5">
      <c r="A13" t="s">
        <v>14</v>
      </c>
      <c r="B13">
        <v>224</v>
      </c>
      <c r="C13">
        <v>219</v>
      </c>
      <c r="D13">
        <v>186.333</v>
      </c>
      <c r="E13">
        <v>37.667</v>
      </c>
    </row>
    <row r="14" spans="1:5">
      <c r="A14" t="s">
        <v>15</v>
      </c>
      <c r="B14">
        <v>7.201</v>
      </c>
      <c r="C14">
        <v>6.987</v>
      </c>
      <c r="D14">
        <v>6.706</v>
      </c>
      <c r="E14">
        <v>0.495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cols>
    <col min="1" max="31" width="14.7109375" customWidth="1"/>
  </cols>
  <sheetData>
    <row r="1" spans="1:18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</row>
    <row r="2" spans="1:18">
      <c r="A2" t="s">
        <v>35</v>
      </c>
      <c r="B2">
        <v>604</v>
      </c>
      <c r="C2">
        <v>310</v>
      </c>
      <c r="D2">
        <v>1.9484</v>
      </c>
      <c r="E2">
        <v>36.1556</v>
      </c>
      <c r="F2">
        <v>72.7</v>
      </c>
      <c r="G2">
        <v>0.0017</v>
      </c>
      <c r="H2">
        <v>415.1012</v>
      </c>
      <c r="I2">
        <v>0.7947</v>
      </c>
      <c r="J2">
        <v>0.0745</v>
      </c>
      <c r="K2">
        <v>0.0795</v>
      </c>
      <c r="L2">
        <v>0.0513</v>
      </c>
      <c r="M2">
        <v>160</v>
      </c>
      <c r="N2">
        <v>0.2649</v>
      </c>
      <c r="O2">
        <v>2.6875</v>
      </c>
      <c r="P2">
        <v>0.3113</v>
      </c>
      <c r="Q2">
        <v>0.0613</v>
      </c>
      <c r="R2">
        <v>6.5428</v>
      </c>
    </row>
    <row r="3" spans="1:18">
      <c r="A3" t="s">
        <v>36</v>
      </c>
      <c r="B3">
        <v>591</v>
      </c>
      <c r="C3">
        <v>302</v>
      </c>
      <c r="D3">
        <v>1.957</v>
      </c>
      <c r="E3">
        <v>36.0763</v>
      </c>
      <c r="F3">
        <v>73</v>
      </c>
      <c r="G3">
        <v>0.0017</v>
      </c>
      <c r="H3">
        <v>421.3194</v>
      </c>
      <c r="I3">
        <v>0.802</v>
      </c>
      <c r="J3">
        <v>0.1066</v>
      </c>
      <c r="K3">
        <v>0.066</v>
      </c>
      <c r="L3">
        <v>0.0254</v>
      </c>
      <c r="M3">
        <v>159</v>
      </c>
      <c r="N3">
        <v>0.269</v>
      </c>
      <c r="O3">
        <v>2.956</v>
      </c>
      <c r="P3">
        <v>0.3418</v>
      </c>
      <c r="Q3">
        <v>0.0626</v>
      </c>
      <c r="R3">
        <v>6.6865</v>
      </c>
    </row>
    <row r="4" spans="1:18">
      <c r="A4" t="s">
        <v>37</v>
      </c>
      <c r="B4">
        <v>605</v>
      </c>
      <c r="C4">
        <v>319</v>
      </c>
      <c r="D4">
        <v>1.8966</v>
      </c>
      <c r="E4">
        <v>38.1556</v>
      </c>
      <c r="F4">
        <v>76</v>
      </c>
      <c r="G4">
        <v>0</v>
      </c>
      <c r="H4">
        <v>422.0497</v>
      </c>
      <c r="I4">
        <v>0.8198</v>
      </c>
      <c r="J4">
        <v>0.081</v>
      </c>
      <c r="K4">
        <v>0.06279999999999999</v>
      </c>
      <c r="L4">
        <v>0.0364</v>
      </c>
      <c r="M4">
        <v>179</v>
      </c>
      <c r="N4">
        <v>0.2959</v>
      </c>
      <c r="O4">
        <v>2.8994</v>
      </c>
      <c r="P4">
        <v>0.3041</v>
      </c>
      <c r="Q4">
        <v>0.0562</v>
      </c>
      <c r="R4">
        <v>6.4764</v>
      </c>
    </row>
    <row r="5" spans="1:18">
      <c r="A5" t="s">
        <v>38</v>
      </c>
      <c r="B5">
        <v>637</v>
      </c>
      <c r="C5">
        <v>313</v>
      </c>
      <c r="D5">
        <v>2.0351</v>
      </c>
      <c r="E5">
        <v>37.9859</v>
      </c>
      <c r="F5">
        <v>73.40000000000001</v>
      </c>
      <c r="G5">
        <v>0</v>
      </c>
      <c r="H5">
        <v>416.7087</v>
      </c>
      <c r="I5">
        <v>0.8006</v>
      </c>
      <c r="J5">
        <v>0.1083</v>
      </c>
      <c r="K5">
        <v>0.0612</v>
      </c>
      <c r="L5">
        <v>0.0298</v>
      </c>
      <c r="M5">
        <v>161</v>
      </c>
      <c r="N5">
        <v>0.2527</v>
      </c>
      <c r="O5">
        <v>2.6708</v>
      </c>
      <c r="P5">
        <v>0.3454</v>
      </c>
      <c r="Q5">
        <v>0.0644</v>
      </c>
      <c r="R5">
        <v>6.6547</v>
      </c>
    </row>
    <row r="6" spans="1:18">
      <c r="A6" t="s">
        <v>39</v>
      </c>
      <c r="B6">
        <v>790</v>
      </c>
      <c r="C6">
        <v>349</v>
      </c>
      <c r="D6">
        <v>2.2636</v>
      </c>
      <c r="E6">
        <v>54.1105</v>
      </c>
      <c r="F6">
        <v>140.8</v>
      </c>
      <c r="G6">
        <v>0.1423</v>
      </c>
      <c r="H6">
        <v>432.7123</v>
      </c>
      <c r="I6">
        <v>0.7823</v>
      </c>
      <c r="J6">
        <v>0.0861</v>
      </c>
      <c r="K6">
        <v>0.0557</v>
      </c>
      <c r="L6">
        <v>0.0759</v>
      </c>
      <c r="M6">
        <v>219</v>
      </c>
      <c r="N6">
        <v>0.2772</v>
      </c>
      <c r="O6">
        <v>2.6164</v>
      </c>
      <c r="P6">
        <v>0.3924</v>
      </c>
      <c r="Q6">
        <v>0.0848</v>
      </c>
      <c r="R6">
        <v>6.9866</v>
      </c>
    </row>
    <row r="7" spans="1:18">
      <c r="A7" t="s">
        <v>1</v>
      </c>
      <c r="B7">
        <v>765</v>
      </c>
      <c r="C7">
        <v>337</v>
      </c>
      <c r="D7">
        <v>2.27</v>
      </c>
      <c r="E7">
        <v>53.055</v>
      </c>
      <c r="F7">
        <v>130</v>
      </c>
      <c r="G7">
        <v>0.1153</v>
      </c>
      <c r="H7">
        <v>435.3677</v>
      </c>
      <c r="I7">
        <v>0.7725</v>
      </c>
      <c r="J7">
        <v>0.102</v>
      </c>
      <c r="K7">
        <v>0.0641</v>
      </c>
      <c r="L7">
        <v>0.0614</v>
      </c>
      <c r="M7">
        <v>224</v>
      </c>
      <c r="N7">
        <v>0.2928</v>
      </c>
      <c r="O7">
        <v>2.7009</v>
      </c>
      <c r="P7">
        <v>0.3959</v>
      </c>
      <c r="Q7">
        <v>0.0843</v>
      </c>
      <c r="R7">
        <v>7.2009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8.7109375" customWidth="1"/>
  </cols>
  <sheetData>
    <row r="1" spans="1:6">
      <c r="A1" t="s">
        <v>17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35</v>
      </c>
      <c r="B2" t="s">
        <v>45</v>
      </c>
      <c r="C2">
        <v>0.7947</v>
      </c>
      <c r="D2">
        <v>0.82</v>
      </c>
      <c r="E2">
        <v>-0.0253</v>
      </c>
      <c r="F2" t="b">
        <v>0</v>
      </c>
    </row>
    <row r="3" spans="1:6">
      <c r="A3" t="s">
        <v>36</v>
      </c>
      <c r="B3" t="s">
        <v>45</v>
      </c>
      <c r="C3">
        <v>0.802</v>
      </c>
      <c r="D3">
        <v>0.82</v>
      </c>
      <c r="E3">
        <v>-0.018</v>
      </c>
      <c r="F3" t="b">
        <v>0</v>
      </c>
    </row>
    <row r="4" spans="1:6">
      <c r="A4" t="s">
        <v>37</v>
      </c>
      <c r="B4" t="s">
        <v>45</v>
      </c>
      <c r="C4">
        <v>0.8198</v>
      </c>
      <c r="D4">
        <v>0.82</v>
      </c>
      <c r="E4">
        <v>-0.0002</v>
      </c>
      <c r="F4" t="b">
        <v>0</v>
      </c>
    </row>
    <row r="5" spans="1:6">
      <c r="A5" t="s">
        <v>38</v>
      </c>
      <c r="B5" t="s">
        <v>45</v>
      </c>
      <c r="C5">
        <v>0.8006</v>
      </c>
      <c r="D5">
        <v>0.82</v>
      </c>
      <c r="E5">
        <v>-0.0194</v>
      </c>
      <c r="F5" t="b">
        <v>0</v>
      </c>
    </row>
    <row r="6" spans="1:6">
      <c r="A6" t="s">
        <v>39</v>
      </c>
      <c r="B6" t="s">
        <v>45</v>
      </c>
      <c r="C6">
        <v>0.7823</v>
      </c>
      <c r="D6">
        <v>0.82</v>
      </c>
      <c r="E6">
        <v>-0.0377</v>
      </c>
      <c r="F6" t="b">
        <v>0</v>
      </c>
    </row>
    <row r="7" spans="1:6">
      <c r="A7" t="s">
        <v>1</v>
      </c>
      <c r="B7" t="s">
        <v>45</v>
      </c>
      <c r="C7">
        <v>0.7725</v>
      </c>
      <c r="D7">
        <v>0.82</v>
      </c>
      <c r="E7">
        <v>-0.0475</v>
      </c>
      <c r="F7" t="b">
        <v>0</v>
      </c>
    </row>
    <row r="8" spans="1:6">
      <c r="A8" t="s">
        <v>35</v>
      </c>
      <c r="B8" t="s">
        <v>46</v>
      </c>
      <c r="C8">
        <v>2.6875</v>
      </c>
      <c r="D8">
        <v>4.2</v>
      </c>
      <c r="E8">
        <v>-1.5125</v>
      </c>
      <c r="F8" t="b">
        <v>0</v>
      </c>
    </row>
    <row r="9" spans="1:6">
      <c r="A9" t="s">
        <v>36</v>
      </c>
      <c r="B9" t="s">
        <v>46</v>
      </c>
      <c r="C9">
        <v>2.956</v>
      </c>
      <c r="D9">
        <v>4.2</v>
      </c>
      <c r="E9">
        <v>-1.244</v>
      </c>
      <c r="F9" t="b">
        <v>0</v>
      </c>
    </row>
    <row r="10" spans="1:6">
      <c r="A10" t="s">
        <v>37</v>
      </c>
      <c r="B10" t="s">
        <v>46</v>
      </c>
      <c r="C10">
        <v>2.8994</v>
      </c>
      <c r="D10">
        <v>4.2</v>
      </c>
      <c r="E10">
        <v>-1.3006</v>
      </c>
      <c r="F10" t="b">
        <v>0</v>
      </c>
    </row>
    <row r="11" spans="1:6">
      <c r="A11" t="s">
        <v>38</v>
      </c>
      <c r="B11" t="s">
        <v>46</v>
      </c>
      <c r="C11">
        <v>2.6708</v>
      </c>
      <c r="D11">
        <v>4.2</v>
      </c>
      <c r="E11">
        <v>-1.5292</v>
      </c>
      <c r="F11" t="b">
        <v>0</v>
      </c>
    </row>
    <row r="12" spans="1:6">
      <c r="A12" t="s">
        <v>39</v>
      </c>
      <c r="B12" t="s">
        <v>46</v>
      </c>
      <c r="C12">
        <v>2.6164</v>
      </c>
      <c r="D12">
        <v>4.2</v>
      </c>
      <c r="E12">
        <v>-1.5836</v>
      </c>
      <c r="F12" t="b">
        <v>0</v>
      </c>
    </row>
    <row r="13" spans="1:6">
      <c r="A13" t="s">
        <v>1</v>
      </c>
      <c r="B13" t="s">
        <v>46</v>
      </c>
      <c r="C13">
        <v>2.7009</v>
      </c>
      <c r="D13">
        <v>4.2</v>
      </c>
      <c r="E13">
        <v>-1.4991</v>
      </c>
      <c r="F13" t="b">
        <v>0</v>
      </c>
    </row>
    <row r="14" spans="1:6">
      <c r="A14" t="s">
        <v>35</v>
      </c>
      <c r="B14" t="s">
        <v>47</v>
      </c>
      <c r="C14">
        <v>36.1556</v>
      </c>
      <c r="D14">
        <v>65</v>
      </c>
      <c r="E14">
        <v>-28.8444</v>
      </c>
      <c r="F14" t="b">
        <v>1</v>
      </c>
    </row>
    <row r="15" spans="1:6">
      <c r="A15" t="s">
        <v>36</v>
      </c>
      <c r="B15" t="s">
        <v>47</v>
      </c>
      <c r="C15">
        <v>36.0763</v>
      </c>
      <c r="D15">
        <v>65</v>
      </c>
      <c r="E15">
        <v>-28.9237</v>
      </c>
      <c r="F15" t="b">
        <v>1</v>
      </c>
    </row>
    <row r="16" spans="1:6">
      <c r="A16" t="s">
        <v>37</v>
      </c>
      <c r="B16" t="s">
        <v>47</v>
      </c>
      <c r="C16">
        <v>38.1556</v>
      </c>
      <c r="D16">
        <v>65</v>
      </c>
      <c r="E16">
        <v>-26.8444</v>
      </c>
      <c r="F16" t="b">
        <v>1</v>
      </c>
    </row>
    <row r="17" spans="1:6">
      <c r="A17" t="s">
        <v>38</v>
      </c>
      <c r="B17" t="s">
        <v>47</v>
      </c>
      <c r="C17">
        <v>37.9859</v>
      </c>
      <c r="D17">
        <v>65</v>
      </c>
      <c r="E17">
        <v>-27.0141</v>
      </c>
      <c r="F17" t="b">
        <v>1</v>
      </c>
    </row>
    <row r="18" spans="1:6">
      <c r="A18" t="s">
        <v>39</v>
      </c>
      <c r="B18" t="s">
        <v>47</v>
      </c>
      <c r="C18">
        <v>54.1105</v>
      </c>
      <c r="D18">
        <v>65</v>
      </c>
      <c r="E18">
        <v>-10.8895</v>
      </c>
      <c r="F18" t="b">
        <v>1</v>
      </c>
    </row>
    <row r="19" spans="1:6">
      <c r="A19" t="s">
        <v>1</v>
      </c>
      <c r="B19" t="s">
        <v>47</v>
      </c>
      <c r="C19">
        <v>53.055</v>
      </c>
      <c r="D19">
        <v>65</v>
      </c>
      <c r="E19">
        <v>-11.945</v>
      </c>
      <c r="F19" t="b">
        <v>1</v>
      </c>
    </row>
    <row r="20" spans="1:6">
      <c r="A20" t="s">
        <v>35</v>
      </c>
      <c r="B20" t="s">
        <v>48</v>
      </c>
      <c r="C20">
        <v>0.0745</v>
      </c>
      <c r="D20">
        <v>0.08</v>
      </c>
      <c r="E20">
        <v>-0.0055</v>
      </c>
      <c r="F20" t="b">
        <v>1</v>
      </c>
    </row>
    <row r="21" spans="1:6">
      <c r="A21" t="s">
        <v>36</v>
      </c>
      <c r="B21" t="s">
        <v>48</v>
      </c>
      <c r="C21">
        <v>0.1066</v>
      </c>
      <c r="D21">
        <v>0.08</v>
      </c>
      <c r="E21">
        <v>0.0266</v>
      </c>
      <c r="F21" t="b">
        <v>0</v>
      </c>
    </row>
    <row r="22" spans="1:6">
      <c r="A22" t="s">
        <v>37</v>
      </c>
      <c r="B22" t="s">
        <v>48</v>
      </c>
      <c r="C22">
        <v>0.081</v>
      </c>
      <c r="D22">
        <v>0.08</v>
      </c>
      <c r="E22">
        <v>0.001</v>
      </c>
      <c r="F22" t="b">
        <v>0</v>
      </c>
    </row>
    <row r="23" spans="1:6">
      <c r="A23" t="s">
        <v>38</v>
      </c>
      <c r="B23" t="s">
        <v>48</v>
      </c>
      <c r="C23">
        <v>0.1083</v>
      </c>
      <c r="D23">
        <v>0.08</v>
      </c>
      <c r="E23">
        <v>0.0283</v>
      </c>
      <c r="F23" t="b">
        <v>0</v>
      </c>
    </row>
    <row r="24" spans="1:6">
      <c r="A24" t="s">
        <v>39</v>
      </c>
      <c r="B24" t="s">
        <v>48</v>
      </c>
      <c r="C24">
        <v>0.0861</v>
      </c>
      <c r="D24">
        <v>0.08</v>
      </c>
      <c r="E24">
        <v>0.0061</v>
      </c>
      <c r="F24" t="b">
        <v>0</v>
      </c>
    </row>
    <row r="25" spans="1:6">
      <c r="A25" t="s">
        <v>1</v>
      </c>
      <c r="B25" t="s">
        <v>48</v>
      </c>
      <c r="C25">
        <v>0.102</v>
      </c>
      <c r="D25">
        <v>0.08</v>
      </c>
      <c r="E25">
        <v>0.022</v>
      </c>
      <c r="F25" t="b">
        <v>0</v>
      </c>
    </row>
  </sheetData>
  <conditionalFormatting sqref="F2:F25">
    <cfRule type="cellIs" dxfId="0" priority="1" operator="equal">
      <formula>FALSE</formula>
    </cfRule>
    <cfRule type="cellIs" dxfId="1" priority="2" operator="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7" width="26.7109375" customWidth="1"/>
  </cols>
  <sheetData>
    <row r="1" spans="1:7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>
      <c r="A2" t="s">
        <v>56</v>
      </c>
      <c r="B2" t="s">
        <v>57</v>
      </c>
      <c r="C2" t="s">
        <v>60</v>
      </c>
      <c r="D2" t="s">
        <v>45</v>
      </c>
      <c r="E2">
        <v>0.773</v>
      </c>
      <c r="F2">
        <v>0.82</v>
      </c>
      <c r="G2" t="s">
        <v>63</v>
      </c>
    </row>
    <row r="3" spans="1:7">
      <c r="A3" t="s">
        <v>56</v>
      </c>
      <c r="B3" t="s">
        <v>57</v>
      </c>
      <c r="C3" t="s">
        <v>60</v>
      </c>
      <c r="D3" t="s">
        <v>46</v>
      </c>
      <c r="E3">
        <v>2.701</v>
      </c>
      <c r="F3">
        <v>4.2</v>
      </c>
      <c r="G3" t="s">
        <v>64</v>
      </c>
    </row>
    <row r="4" spans="1:7">
      <c r="A4" t="s">
        <v>56</v>
      </c>
      <c r="B4" t="s">
        <v>57</v>
      </c>
      <c r="C4" t="s">
        <v>60</v>
      </c>
      <c r="D4" t="s">
        <v>48</v>
      </c>
      <c r="E4">
        <v>0.102</v>
      </c>
      <c r="F4">
        <v>0.08</v>
      </c>
      <c r="G4" t="s">
        <v>65</v>
      </c>
    </row>
    <row r="5" spans="1:7">
      <c r="A5" t="s">
        <v>56</v>
      </c>
      <c r="B5" t="s">
        <v>58</v>
      </c>
      <c r="C5" t="s">
        <v>60</v>
      </c>
      <c r="D5" t="s">
        <v>7</v>
      </c>
      <c r="E5">
        <v>130</v>
      </c>
      <c r="F5">
        <v>120</v>
      </c>
      <c r="G5" t="s">
        <v>66</v>
      </c>
    </row>
    <row r="6" spans="1:7">
      <c r="A6" t="s">
        <v>56</v>
      </c>
      <c r="B6" t="s">
        <v>58</v>
      </c>
      <c r="C6" t="s">
        <v>60</v>
      </c>
      <c r="D6" t="s">
        <v>11</v>
      </c>
      <c r="E6">
        <v>0.061</v>
      </c>
      <c r="F6">
        <v>0.05</v>
      </c>
      <c r="G6" t="s">
        <v>66</v>
      </c>
    </row>
    <row r="7" spans="1:7">
      <c r="A7" t="s">
        <v>56</v>
      </c>
      <c r="B7" t="s">
        <v>58</v>
      </c>
      <c r="C7" t="s">
        <v>60</v>
      </c>
      <c r="D7" t="s">
        <v>12</v>
      </c>
      <c r="E7">
        <v>0.08400000000000001</v>
      </c>
      <c r="F7">
        <v>0.08</v>
      </c>
      <c r="G7" t="s">
        <v>66</v>
      </c>
    </row>
    <row r="8" spans="1:7">
      <c r="A8" t="s">
        <v>56</v>
      </c>
      <c r="B8" t="s">
        <v>59</v>
      </c>
      <c r="C8" t="s">
        <v>61</v>
      </c>
      <c r="D8" t="s">
        <v>6</v>
      </c>
      <c r="E8">
        <v>138.2</v>
      </c>
      <c r="F8">
        <v>83.90000000000001</v>
      </c>
      <c r="G8" t="s">
        <v>67</v>
      </c>
    </row>
    <row r="9" spans="1:7">
      <c r="A9" t="s">
        <v>56</v>
      </c>
      <c r="B9" t="s">
        <v>59</v>
      </c>
      <c r="C9" t="s">
        <v>62</v>
      </c>
      <c r="D9" t="s">
        <v>6</v>
      </c>
      <c r="E9">
        <v>134.4</v>
      </c>
      <c r="F9">
        <v>88.90000000000001</v>
      </c>
      <c r="G9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52.7109375" customWidth="1"/>
    <col min="2" max="2" width="8.7109375" customWidth="1"/>
    <col min="3" max="3" width="90.7109375" customWidth="1"/>
  </cols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84</v>
      </c>
      <c r="C2" t="s">
        <v>86</v>
      </c>
    </row>
    <row r="3" spans="1:3">
      <c r="A3" t="s">
        <v>73</v>
      </c>
      <c r="B3" t="s">
        <v>84</v>
      </c>
      <c r="C3" t="s">
        <v>87</v>
      </c>
    </row>
    <row r="4" spans="1:3">
      <c r="A4" t="s">
        <v>74</v>
      </c>
      <c r="B4" t="s">
        <v>85</v>
      </c>
      <c r="C4" t="s">
        <v>88</v>
      </c>
    </row>
    <row r="5" spans="1:3">
      <c r="A5" t="s">
        <v>75</v>
      </c>
      <c r="B5" t="s">
        <v>84</v>
      </c>
      <c r="C5" t="s">
        <v>89</v>
      </c>
    </row>
    <row r="6" spans="1:3">
      <c r="A6" t="s">
        <v>76</v>
      </c>
      <c r="B6" t="s">
        <v>84</v>
      </c>
      <c r="C6" t="s">
        <v>90</v>
      </c>
    </row>
    <row r="7" spans="1:3">
      <c r="A7" t="s">
        <v>77</v>
      </c>
      <c r="B7" t="s">
        <v>84</v>
      </c>
      <c r="C7" t="s">
        <v>91</v>
      </c>
    </row>
    <row r="8" spans="1:3">
      <c r="A8" t="s">
        <v>78</v>
      </c>
      <c r="B8" t="s">
        <v>84</v>
      </c>
      <c r="C8" t="s">
        <v>92</v>
      </c>
    </row>
    <row r="9" spans="1:3">
      <c r="A9" t="s">
        <v>79</v>
      </c>
      <c r="B9" t="s">
        <v>84</v>
      </c>
      <c r="C9" t="s">
        <v>93</v>
      </c>
    </row>
    <row r="10" spans="1:3">
      <c r="A10" t="s">
        <v>80</v>
      </c>
      <c r="B10" t="s">
        <v>84</v>
      </c>
      <c r="C10" t="s">
        <v>94</v>
      </c>
    </row>
    <row r="11" spans="1:3">
      <c r="A11" t="s">
        <v>81</v>
      </c>
      <c r="B11" t="s">
        <v>84</v>
      </c>
      <c r="C11" t="s">
        <v>95</v>
      </c>
    </row>
    <row r="12" spans="1:3">
      <c r="A12" t="s">
        <v>82</v>
      </c>
      <c r="B12" t="s">
        <v>84</v>
      </c>
      <c r="C12" t="s">
        <v>96</v>
      </c>
    </row>
    <row r="13" spans="1:3">
      <c r="A13" t="s">
        <v>83</v>
      </c>
      <c r="B13" t="s">
        <v>85</v>
      </c>
      <c r="C13" t="s">
        <v>97</v>
      </c>
    </row>
  </sheetData>
  <conditionalFormatting sqref="B2:B13">
    <cfRule type="containsText" dxfId="0" priority="1" operator="containsText" text="FAIL">
      <formula>NOT(ISERROR(SEARCH("FAIL",B2)))</formula>
    </cfRule>
    <cfRule type="containsText" dxfId="2" priority="2" operator="containsText" text="WARN">
      <formula>NOT(ISERROR(SEARCH("WARN",B2)))</formula>
    </cfRule>
    <cfRule type="containsText" dxfId="1" priority="3" operator="containsText" text="PASS">
      <formula>NOT(ISERROR(SEARCH("PASS",B2)))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98</v>
      </c>
      <c r="B1" t="s">
        <v>53</v>
      </c>
    </row>
    <row r="2" spans="1:2">
      <c r="A2" t="s">
        <v>99</v>
      </c>
      <c r="B2">
        <v>0.02</v>
      </c>
    </row>
    <row r="3" spans="1:2">
      <c r="A3" t="s">
        <v>100</v>
      </c>
      <c r="B3">
        <v>0.2</v>
      </c>
    </row>
    <row r="4" spans="1:2">
      <c r="A4" t="s">
        <v>101</v>
      </c>
      <c r="B4">
        <v>0.3</v>
      </c>
    </row>
    <row r="5" spans="1:2">
      <c r="A5" t="s">
        <v>102</v>
      </c>
      <c r="B5">
        <v>120</v>
      </c>
    </row>
    <row r="6" spans="1:2">
      <c r="A6" t="s">
        <v>103</v>
      </c>
      <c r="B6">
        <v>0.05</v>
      </c>
    </row>
    <row r="7" spans="1:2">
      <c r="A7" t="s">
        <v>104</v>
      </c>
      <c r="B7">
        <v>0.08</v>
      </c>
    </row>
    <row r="8" spans="1:2">
      <c r="A8" t="s">
        <v>105</v>
      </c>
      <c r="B8">
        <v>30</v>
      </c>
    </row>
    <row r="9" spans="1:2">
      <c r="A9" t="s">
        <v>106</v>
      </c>
      <c r="B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KPI_Trend</vt:lpstr>
      <vt:lpstr>Vs_Target</vt:lpstr>
      <vt:lpstr>Alerts</vt:lpstr>
      <vt:lpstr>Controls</vt:lpstr>
      <vt:lpstr>Thresholds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2026-10-21T01:23:48Z</dcterms:created>
  <dcterms:modified xsi:type="dcterms:W3CDTF">2026-10-21T01:23:48Z</dcterms:modified>
</cp:coreProperties>
</file>